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nne\Downloads\"/>
    </mc:Choice>
  </mc:AlternateContent>
  <xr:revisionPtr revIDLastSave="0" documentId="13_ncr:1_{B38CA0BB-7490-496A-A441-6DDFEED00EDB}" xr6:coauthVersionLast="47" xr6:coauthVersionMax="47" xr10:uidLastSave="{00000000-0000-0000-0000-000000000000}"/>
  <bookViews>
    <workbookView xWindow="-80" yWindow="-80" windowWidth="19360" windowHeight="11440" xr2:uid="{D115195D-C152-4024-9EBE-62E553918F92}"/>
  </bookViews>
  <sheets>
    <sheet name="Sheet1" sheetId="1" r:id="rId1"/>
  </sheets>
  <definedNames>
    <definedName name="_xlnm._FilterDatabase" localSheetId="0" hidden="1">Sheet1!$A$1:$H$56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7" i="1" l="1"/>
  <c r="H35" i="1"/>
  <c r="D32" i="1"/>
  <c r="D28" i="1"/>
  <c r="D54" i="1"/>
  <c r="D4" i="1"/>
  <c r="D7" i="1"/>
  <c r="D14" i="1"/>
  <c r="D19" i="1"/>
  <c r="D25" i="1"/>
  <c r="D53" i="1"/>
  <c r="D21" i="1"/>
  <c r="D34" i="1"/>
  <c r="D50" i="1"/>
  <c r="D48" i="1"/>
  <c r="D5" i="1"/>
  <c r="D46" i="1"/>
  <c r="D56" i="1"/>
  <c r="D49" i="1"/>
  <c r="D47" i="1"/>
  <c r="D45" i="1"/>
  <c r="D43" i="1"/>
  <c r="D41" i="1"/>
  <c r="D40" i="1"/>
  <c r="D38" i="1"/>
  <c r="D33" i="1"/>
  <c r="D31" i="1"/>
  <c r="D36" i="1"/>
  <c r="D37" i="1"/>
  <c r="D35" i="1"/>
  <c r="D29" i="1"/>
  <c r="D24" i="1"/>
  <c r="D23" i="1"/>
  <c r="D20" i="1"/>
  <c r="D18" i="1"/>
  <c r="D15" i="1"/>
  <c r="D12" i="1"/>
  <c r="D10" i="1"/>
  <c r="D11" i="1"/>
  <c r="D6" i="1"/>
  <c r="D3" i="1"/>
</calcChain>
</file>

<file path=xl/sharedStrings.xml><?xml version="1.0" encoding="utf-8"?>
<sst xmlns="http://schemas.openxmlformats.org/spreadsheetml/2006/main" count="254" uniqueCount="156">
  <si>
    <t>M-BC</t>
  </si>
  <si>
    <t>Black Currant</t>
  </si>
  <si>
    <t>M-BES</t>
  </si>
  <si>
    <t>Besan Flour</t>
  </si>
  <si>
    <t>M-BWF</t>
  </si>
  <si>
    <t>M-CHF</t>
  </si>
  <si>
    <t>Chia Flour</t>
  </si>
  <si>
    <t>M-CS</t>
  </si>
  <si>
    <t>Caster Sugar</t>
  </si>
  <si>
    <t>M-DAT</t>
  </si>
  <si>
    <t>Dates</t>
  </si>
  <si>
    <t>M-DY</t>
  </si>
  <si>
    <t>Dry Yeast</t>
  </si>
  <si>
    <t>M-FIG</t>
  </si>
  <si>
    <t>Fig</t>
  </si>
  <si>
    <t>M-FLF</t>
  </si>
  <si>
    <t>Flaxseed Flour</t>
  </si>
  <si>
    <t>M-GUG</t>
  </si>
  <si>
    <t>Guar gum</t>
  </si>
  <si>
    <t>M-LIN</t>
  </si>
  <si>
    <t>Linseed</t>
  </si>
  <si>
    <t>M-MAZ</t>
  </si>
  <si>
    <t>Maize Flour</t>
  </si>
  <si>
    <t>M-MNG</t>
  </si>
  <si>
    <t>Mung beans</t>
  </si>
  <si>
    <t>M-MXS</t>
  </si>
  <si>
    <t>Mixed Spices</t>
  </si>
  <si>
    <t>M-PHK</t>
  </si>
  <si>
    <t>Psyllium Husk</t>
  </si>
  <si>
    <t>M-PHKP</t>
  </si>
  <si>
    <t>Pysllium Husk Powder</t>
  </si>
  <si>
    <t>M-PKN</t>
  </si>
  <si>
    <t>Pumpkin Seed</t>
  </si>
  <si>
    <t>M-PLF</t>
  </si>
  <si>
    <t>Plant fiber</t>
  </si>
  <si>
    <t>M-PST</t>
  </si>
  <si>
    <t>Potato Starch</t>
  </si>
  <si>
    <t>M-QS</t>
  </si>
  <si>
    <t>Quinoa Seed</t>
  </si>
  <si>
    <t>M-RAS</t>
  </si>
  <si>
    <t>Raisin</t>
  </si>
  <si>
    <t>M-SAL</t>
  </si>
  <si>
    <t>M-SOY</t>
  </si>
  <si>
    <t>Soybean</t>
  </si>
  <si>
    <t>M-SUL</t>
  </si>
  <si>
    <t>Sultana</t>
  </si>
  <si>
    <t>M-SUN</t>
  </si>
  <si>
    <t>Sunflower Kernels</t>
  </si>
  <si>
    <t>M-TS</t>
  </si>
  <si>
    <t>Tin Spray</t>
  </si>
  <si>
    <t>M-TST</t>
  </si>
  <si>
    <t>Tapioca Starch</t>
  </si>
  <si>
    <t>M-VIN</t>
  </si>
  <si>
    <t>Vinegar</t>
  </si>
  <si>
    <t>M-WAL</t>
  </si>
  <si>
    <t>Walnut</t>
  </si>
  <si>
    <t>M-XAN</t>
  </si>
  <si>
    <t>Xanthan Gum</t>
  </si>
  <si>
    <t>PBW</t>
  </si>
  <si>
    <t>Name</t>
  </si>
  <si>
    <t>Store QTY</t>
  </si>
  <si>
    <t>Supplier</t>
  </si>
  <si>
    <t>Batch Number</t>
  </si>
  <si>
    <t>Expiry Date</t>
  </si>
  <si>
    <t>Buckwheat Flour- Grey</t>
  </si>
  <si>
    <t>B24GS251125</t>
  </si>
  <si>
    <t>LOT 435W/91/2025</t>
  </si>
  <si>
    <t>6876721B</t>
  </si>
  <si>
    <t>F050690</t>
  </si>
  <si>
    <t>SF200126</t>
  </si>
  <si>
    <t>LOT 350058631</t>
  </si>
  <si>
    <t>Z1</t>
  </si>
  <si>
    <t>LINSEE/25</t>
  </si>
  <si>
    <t>LOT NO -</t>
  </si>
  <si>
    <t>VP/E/014/2024/25/95H</t>
  </si>
  <si>
    <t>PBP/PHP/25/082</t>
  </si>
  <si>
    <t>EDJ251017203</t>
  </si>
  <si>
    <t>W3250505</t>
  </si>
  <si>
    <t>5411-T</t>
  </si>
  <si>
    <t>BLO12026TCQEO</t>
  </si>
  <si>
    <t>RAIS010</t>
  </si>
  <si>
    <t>Salt- IODISED</t>
  </si>
  <si>
    <t>251105BCH273727</t>
  </si>
  <si>
    <t>SULT140</t>
  </si>
  <si>
    <t>SUNF310</t>
  </si>
  <si>
    <t>141025/204</t>
  </si>
  <si>
    <t>HH2025/07080293</t>
  </si>
  <si>
    <t>DATE040</t>
  </si>
  <si>
    <t>M-CAN</t>
  </si>
  <si>
    <t>CANOLA OIL</t>
  </si>
  <si>
    <t>26051204C</t>
  </si>
  <si>
    <t>M-APR</t>
  </si>
  <si>
    <t>APRICOT</t>
  </si>
  <si>
    <t>AS251213</t>
  </si>
  <si>
    <t>CURR100</t>
  </si>
  <si>
    <t>SUNF260224</t>
  </si>
  <si>
    <t>5133-K</t>
  </si>
  <si>
    <t>M-HAR</t>
  </si>
  <si>
    <t>HARVEST FLOUR</t>
  </si>
  <si>
    <t>M-WMR</t>
  </si>
  <si>
    <t>WET MILLED RICE FLOUR</t>
  </si>
  <si>
    <t>23339KB</t>
  </si>
  <si>
    <t>M-MS</t>
  </si>
  <si>
    <t>MAIZE STARCH</t>
  </si>
  <si>
    <t>SMS24123358</t>
  </si>
  <si>
    <t>M-DEX</t>
  </si>
  <si>
    <t>DEXTROSE SUGAR</t>
  </si>
  <si>
    <t>M-BWFW</t>
  </si>
  <si>
    <t>Buckwheat Flour- WHITE</t>
  </si>
  <si>
    <t>B24J3251125</t>
  </si>
  <si>
    <t>LOT NO 258</t>
  </si>
  <si>
    <t>BURAPA</t>
  </si>
  <si>
    <t>LOT NO 250805</t>
  </si>
  <si>
    <t>SOY FLOUR</t>
  </si>
  <si>
    <t>M-HP</t>
  </si>
  <si>
    <t>HPMC CELLULOSE</t>
  </si>
  <si>
    <t>M-MDT</t>
  </si>
  <si>
    <t>MODIFIED TOPIOCA</t>
  </si>
  <si>
    <t>POLENTA</t>
  </si>
  <si>
    <t>M-POL</t>
  </si>
  <si>
    <t>PMF</t>
  </si>
  <si>
    <t>MARKET PREMIX</t>
  </si>
  <si>
    <t>PST</t>
  </si>
  <si>
    <t>STRADA PREMIX</t>
  </si>
  <si>
    <t>PPZ</t>
  </si>
  <si>
    <t>PIZZA PREMIX</t>
  </si>
  <si>
    <t>PWR</t>
  </si>
  <si>
    <t>WRAPS PREMIX</t>
  </si>
  <si>
    <t>Buckwheat Premix</t>
  </si>
  <si>
    <t>NSM</t>
  </si>
  <si>
    <t>IXOM</t>
  </si>
  <si>
    <t>VRAJ PSYLLIUM</t>
  </si>
  <si>
    <t>UOM</t>
  </si>
  <si>
    <t>KG</t>
  </si>
  <si>
    <t>LBS</t>
  </si>
  <si>
    <t>LTR</t>
  </si>
  <si>
    <t>CAN</t>
  </si>
  <si>
    <t>Alexander Ingredients</t>
  </si>
  <si>
    <t>Baketec</t>
  </si>
  <si>
    <t>Bean Growers</t>
  </si>
  <si>
    <t>Buckwheat Enterprises Pty</t>
  </si>
  <si>
    <t>Davis Food Ingredients Pty Ltd</t>
  </si>
  <si>
    <t>Frutex</t>
  </si>
  <si>
    <t>Goodman Fielder Consumer Foods</t>
  </si>
  <si>
    <t>Impulse Trading Co</t>
  </si>
  <si>
    <t>Leo's Imports &amp; Distributors</t>
  </si>
  <si>
    <t>Lesaffre Australia Pacific</t>
  </si>
  <si>
    <t>MON Natural Vinegar Company</t>
  </si>
  <si>
    <t>Mirfak Pty Ltd</t>
  </si>
  <si>
    <t>Oostra Spice Company</t>
  </si>
  <si>
    <t>Redox</t>
  </si>
  <si>
    <t>Shermans Finest Edible Oils</t>
  </si>
  <si>
    <t>Woods Grain Pty Ltd</t>
  </si>
  <si>
    <t>Waltanna Farms</t>
  </si>
  <si>
    <t>ITEM CODE</t>
  </si>
  <si>
    <t>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</si>
</sst>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0" fillId="0" borderId="2" xfId="0" applyFill="1" applyBorder="1"/>
    <xf numFmtId="14" fontId="0" fillId="0" borderId="0" xfId="0" applyNumberFormat="1"/>
    <xf numFmtId="0" fontId="4" fillId="0" borderId="1" xfId="0" applyFont="1" applyBorder="1"/>
    <xf numFmtId="0" fontId="4" fillId="0" borderId="2" xfId="0" applyFont="1" applyFill="1" applyBorder="1"/>
    <xf numFmtId="0" fontId="4" fillId="0" borderId="0" xfId="0" applyFont="1"/>
    <xf numFmtId="0" fontId="1" fillId="0" borderId="0" xfId="0" applyFont="1" applyBorder="1" applyAlignment="1">
      <alignment wrapText="1"/>
    </xf>
    <xf numFmtId="0" fontId="4" fillId="0" borderId="2" xfId="0" applyFont="1" applyBorder="1"/>
    <xf numFmtId="0" fontId="0" fillId="0" borderId="0" xfId="0" applyBorder="1"/>
    <xf numFmtId="0" fontId="1" fillId="0" borderId="0" xfId="0" applyFont="1" applyFill="1" applyBorder="1" applyAlignment="1">
      <alignment wrapText="1"/>
    </xf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/>
    <xf numFmtId="0" fontId="5" fillId="0" borderId="0" xfId="0" applyFont="1" applyFill="1" applyBorder="1" applyAlignment="1">
      <alignment wrapText="1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D03EE-03E3-42CC-8635-F0DBB8DFF440}">
  <dimension ref="A1:H100"/>
  <sheetViews>
    <sheetView tabSelected="1" topLeftCell="A41" workbookViewId="0">
      <selection activeCell="A51" sqref="A51:XFD51"/>
    </sheetView>
  </sheetViews>
  <sheetFormatPr defaultRowHeight="14.5" x14ac:dyDescent="0.35"/>
  <cols>
    <col min="1" max="1" width="12.54296875" bestFit="1" customWidth="1"/>
    <col min="2" max="2" width="15.08984375" customWidth="1"/>
    <col min="3" max="3" width="22.81640625" bestFit="1" customWidth="1"/>
    <col min="4" max="4" width="9" bestFit="1" customWidth="1"/>
    <col min="5" max="5" width="9" customWidth="1"/>
    <col min="6" max="6" width="11.81640625" bestFit="1" customWidth="1"/>
    <col min="7" max="7" width="10.08984375" bestFit="1" customWidth="1"/>
  </cols>
  <sheetData>
    <row r="1" spans="1:8" s="8" customFormat="1" x14ac:dyDescent="0.35">
      <c r="A1" s="6" t="s">
        <v>154</v>
      </c>
      <c r="B1" s="6" t="s">
        <v>61</v>
      </c>
      <c r="C1" s="6" t="s">
        <v>59</v>
      </c>
      <c r="D1" s="6" t="s">
        <v>60</v>
      </c>
      <c r="E1" s="10" t="s">
        <v>132</v>
      </c>
      <c r="F1" s="7" t="s">
        <v>62</v>
      </c>
      <c r="G1" s="7" t="s">
        <v>63</v>
      </c>
      <c r="H1" s="7" t="s">
        <v>155</v>
      </c>
    </row>
    <row r="2" spans="1:8" x14ac:dyDescent="0.35">
      <c r="A2" s="1" t="s">
        <v>91</v>
      </c>
      <c r="B2" s="1" t="s">
        <v>129</v>
      </c>
      <c r="C2" s="1" t="s">
        <v>92</v>
      </c>
      <c r="D2" s="1">
        <v>30</v>
      </c>
      <c r="E2" s="4" t="s">
        <v>133</v>
      </c>
      <c r="F2" t="s">
        <v>93</v>
      </c>
      <c r="G2" s="5">
        <v>46477</v>
      </c>
      <c r="H2">
        <v>19.5</v>
      </c>
    </row>
    <row r="3" spans="1:8" ht="26" x14ac:dyDescent="0.35">
      <c r="A3" s="2" t="s">
        <v>2</v>
      </c>
      <c r="B3" s="2" t="s">
        <v>152</v>
      </c>
      <c r="C3" s="2" t="s">
        <v>3</v>
      </c>
      <c r="D3" s="2">
        <f>75*20</f>
        <v>1500</v>
      </c>
      <c r="E3" s="9" t="s">
        <v>133</v>
      </c>
      <c r="F3">
        <v>37730381092</v>
      </c>
      <c r="G3" s="5">
        <v>46402</v>
      </c>
      <c r="H3">
        <v>1.85</v>
      </c>
    </row>
    <row r="4" spans="1:8" x14ac:dyDescent="0.35">
      <c r="A4" s="2" t="s">
        <v>2</v>
      </c>
      <c r="B4" s="2" t="s">
        <v>148</v>
      </c>
      <c r="C4" s="2" t="s">
        <v>3</v>
      </c>
      <c r="D4" s="2">
        <f>39*20</f>
        <v>780</v>
      </c>
      <c r="E4" s="9" t="s">
        <v>133</v>
      </c>
      <c r="F4" t="s">
        <v>110</v>
      </c>
      <c r="G4" s="5">
        <v>46599</v>
      </c>
      <c r="H4">
        <v>2.5</v>
      </c>
    </row>
    <row r="5" spans="1:8" x14ac:dyDescent="0.35">
      <c r="A5" s="2" t="s">
        <v>0</v>
      </c>
      <c r="B5" s="25" t="s">
        <v>142</v>
      </c>
      <c r="C5" s="2" t="s">
        <v>1</v>
      </c>
      <c r="D5" s="2">
        <f>25*12.5</f>
        <v>312.5</v>
      </c>
      <c r="E5" s="9" t="s">
        <v>133</v>
      </c>
      <c r="F5" t="s">
        <v>94</v>
      </c>
      <c r="G5" s="5">
        <v>46463</v>
      </c>
      <c r="H5">
        <v>9.8000000000000007</v>
      </c>
    </row>
    <row r="6" spans="1:8" x14ac:dyDescent="0.35">
      <c r="A6" s="2" t="s">
        <v>4</v>
      </c>
      <c r="B6" s="21" t="s">
        <v>140</v>
      </c>
      <c r="C6" s="3" t="s">
        <v>64</v>
      </c>
      <c r="D6" s="2">
        <f>31*20</f>
        <v>620</v>
      </c>
      <c r="E6" s="9" t="s">
        <v>133</v>
      </c>
      <c r="F6" t="s">
        <v>65</v>
      </c>
      <c r="G6" s="5">
        <v>46477</v>
      </c>
      <c r="H6">
        <v>3</v>
      </c>
    </row>
    <row r="7" spans="1:8" x14ac:dyDescent="0.35">
      <c r="A7" s="2" t="s">
        <v>107</v>
      </c>
      <c r="B7" s="22" t="s">
        <v>140</v>
      </c>
      <c r="C7" s="3" t="s">
        <v>108</v>
      </c>
      <c r="D7" s="2">
        <f>14*20</f>
        <v>280</v>
      </c>
      <c r="E7" s="9" t="s">
        <v>133</v>
      </c>
      <c r="F7" t="s">
        <v>109</v>
      </c>
      <c r="G7" s="5">
        <v>46418</v>
      </c>
      <c r="H7">
        <v>3.5</v>
      </c>
    </row>
    <row r="8" spans="1:8" x14ac:dyDescent="0.35">
      <c r="A8" s="2" t="s">
        <v>58</v>
      </c>
      <c r="B8" s="2"/>
      <c r="C8" s="3" t="s">
        <v>128</v>
      </c>
      <c r="D8" s="2">
        <v>4000</v>
      </c>
      <c r="E8" s="9" t="s">
        <v>133</v>
      </c>
    </row>
    <row r="9" spans="1:8" ht="26" x14ac:dyDescent="0.35">
      <c r="A9" s="2" t="s">
        <v>88</v>
      </c>
      <c r="B9" s="2" t="s">
        <v>151</v>
      </c>
      <c r="C9" s="2" t="s">
        <v>89</v>
      </c>
      <c r="D9" s="2">
        <v>1000</v>
      </c>
      <c r="E9" s="9" t="s">
        <v>133</v>
      </c>
      <c r="F9" t="s">
        <v>90</v>
      </c>
      <c r="G9" s="5">
        <v>46437</v>
      </c>
      <c r="H9">
        <v>2.41</v>
      </c>
    </row>
    <row r="10" spans="1:8" x14ac:dyDescent="0.35">
      <c r="A10" s="2" t="s">
        <v>7</v>
      </c>
      <c r="B10" s="2" t="s">
        <v>150</v>
      </c>
      <c r="C10" s="2" t="s">
        <v>8</v>
      </c>
      <c r="D10" s="2">
        <f>23*25</f>
        <v>575</v>
      </c>
      <c r="E10" s="9" t="s">
        <v>133</v>
      </c>
      <c r="F10" t="s">
        <v>67</v>
      </c>
      <c r="G10" s="5">
        <v>47105</v>
      </c>
      <c r="H10">
        <v>2.2400000000000002</v>
      </c>
    </row>
    <row r="11" spans="1:8" x14ac:dyDescent="0.35">
      <c r="A11" s="2" t="s">
        <v>5</v>
      </c>
      <c r="B11" s="24" t="s">
        <v>141</v>
      </c>
      <c r="C11" s="2" t="s">
        <v>6</v>
      </c>
      <c r="D11" s="2">
        <f>80*20</f>
        <v>1600</v>
      </c>
      <c r="E11" s="9" t="s">
        <v>133</v>
      </c>
      <c r="F11" t="s">
        <v>66</v>
      </c>
      <c r="G11" s="5">
        <v>47060</v>
      </c>
      <c r="H11">
        <v>6.94</v>
      </c>
    </row>
    <row r="12" spans="1:8" x14ac:dyDescent="0.35">
      <c r="A12" s="2" t="s">
        <v>9</v>
      </c>
      <c r="B12" s="26" t="s">
        <v>142</v>
      </c>
      <c r="C12" s="2" t="s">
        <v>10</v>
      </c>
      <c r="D12" s="2">
        <f>25*10</f>
        <v>250</v>
      </c>
      <c r="E12" s="9" t="s">
        <v>133</v>
      </c>
      <c r="F12">
        <v>711025</v>
      </c>
      <c r="G12" s="5">
        <v>46602</v>
      </c>
      <c r="H12">
        <v>2.9</v>
      </c>
    </row>
    <row r="13" spans="1:8" x14ac:dyDescent="0.35">
      <c r="A13" s="2" t="s">
        <v>9</v>
      </c>
      <c r="B13" s="2" t="s">
        <v>129</v>
      </c>
      <c r="C13" s="2" t="s">
        <v>10</v>
      </c>
      <c r="D13" s="2"/>
      <c r="E13" s="9" t="s">
        <v>133</v>
      </c>
      <c r="F13" t="s">
        <v>87</v>
      </c>
      <c r="G13" s="5">
        <v>46294</v>
      </c>
    </row>
    <row r="14" spans="1:8" s="18" customFormat="1" x14ac:dyDescent="0.35">
      <c r="A14" s="19" t="s">
        <v>105</v>
      </c>
      <c r="B14" s="19" t="s">
        <v>130</v>
      </c>
      <c r="C14" s="19" t="s">
        <v>106</v>
      </c>
      <c r="D14" s="19">
        <f>23*25</f>
        <v>575</v>
      </c>
      <c r="E14" s="34" t="s">
        <v>133</v>
      </c>
      <c r="F14" s="18">
        <v>20241231</v>
      </c>
    </row>
    <row r="15" spans="1:8" ht="26" x14ac:dyDescent="0.35">
      <c r="A15" s="2" t="s">
        <v>11</v>
      </c>
      <c r="B15" s="2" t="s">
        <v>146</v>
      </c>
      <c r="C15" s="2" t="s">
        <v>12</v>
      </c>
      <c r="D15" s="2">
        <f>58*10</f>
        <v>580</v>
      </c>
      <c r="E15" s="9" t="s">
        <v>133</v>
      </c>
      <c r="F15" t="s">
        <v>68</v>
      </c>
      <c r="G15" s="5">
        <v>46499</v>
      </c>
      <c r="H15">
        <v>4.3</v>
      </c>
    </row>
    <row r="16" spans="1:8" x14ac:dyDescent="0.35">
      <c r="A16" s="2" t="s">
        <v>13</v>
      </c>
      <c r="B16" s="2" t="s">
        <v>129</v>
      </c>
      <c r="C16" s="2" t="s">
        <v>14</v>
      </c>
      <c r="D16" s="2">
        <v>130</v>
      </c>
      <c r="E16" s="9" t="s">
        <v>133</v>
      </c>
      <c r="F16" t="s">
        <v>69</v>
      </c>
      <c r="G16" s="5">
        <v>46418</v>
      </c>
      <c r="H16">
        <v>12.9</v>
      </c>
    </row>
    <row r="17" spans="1:8" x14ac:dyDescent="0.35">
      <c r="A17" s="2" t="s">
        <v>13</v>
      </c>
      <c r="B17" s="2" t="s">
        <v>129</v>
      </c>
      <c r="C17" s="2" t="s">
        <v>14</v>
      </c>
      <c r="D17" s="2">
        <v>200</v>
      </c>
      <c r="E17" s="9" t="s">
        <v>133</v>
      </c>
      <c r="F17" t="s">
        <v>70</v>
      </c>
      <c r="G17" s="5">
        <v>46471</v>
      </c>
      <c r="H17">
        <v>12.9</v>
      </c>
    </row>
    <row r="18" spans="1:8" x14ac:dyDescent="0.35">
      <c r="A18" s="2" t="s">
        <v>15</v>
      </c>
      <c r="B18" s="33" t="s">
        <v>144</v>
      </c>
      <c r="C18" s="2" t="s">
        <v>16</v>
      </c>
      <c r="D18" s="2">
        <f>38*20</f>
        <v>760</v>
      </c>
      <c r="E18" s="9" t="s">
        <v>133</v>
      </c>
      <c r="F18">
        <v>50903045021</v>
      </c>
      <c r="G18" s="5">
        <v>46660</v>
      </c>
      <c r="H18">
        <v>3.1</v>
      </c>
    </row>
    <row r="19" spans="1:8" x14ac:dyDescent="0.35">
      <c r="A19" s="2" t="s">
        <v>15</v>
      </c>
      <c r="B19" s="2" t="s">
        <v>153</v>
      </c>
      <c r="C19" s="2" t="s">
        <v>16</v>
      </c>
      <c r="D19" s="2">
        <f>19*12.5</f>
        <v>237.5</v>
      </c>
      <c r="E19" s="9" t="s">
        <v>133</v>
      </c>
      <c r="F19">
        <v>311619725</v>
      </c>
      <c r="G19" s="5">
        <v>46554</v>
      </c>
      <c r="H19">
        <v>3.1</v>
      </c>
    </row>
    <row r="20" spans="1:8" x14ac:dyDescent="0.35">
      <c r="A20" s="2" t="s">
        <v>17</v>
      </c>
      <c r="B20" s="13" t="s">
        <v>137</v>
      </c>
      <c r="C20" s="2" t="s">
        <v>18</v>
      </c>
      <c r="D20" s="2">
        <f>2*25</f>
        <v>50</v>
      </c>
      <c r="E20" s="9" t="s">
        <v>133</v>
      </c>
      <c r="F20" t="s">
        <v>71</v>
      </c>
      <c r="G20" s="5">
        <v>46675</v>
      </c>
      <c r="H20">
        <v>5.75</v>
      </c>
    </row>
    <row r="21" spans="1:8" x14ac:dyDescent="0.35">
      <c r="A21" s="1" t="s">
        <v>97</v>
      </c>
      <c r="B21" s="1"/>
      <c r="C21" s="1" t="s">
        <v>98</v>
      </c>
      <c r="D21" s="1">
        <f>10*25</f>
        <v>250</v>
      </c>
      <c r="E21" s="12" t="s">
        <v>133</v>
      </c>
      <c r="F21">
        <v>20270514</v>
      </c>
      <c r="G21" s="5">
        <v>46511</v>
      </c>
    </row>
    <row r="22" spans="1:8" x14ac:dyDescent="0.35">
      <c r="A22" s="1" t="s">
        <v>114</v>
      </c>
      <c r="B22" s="17" t="s">
        <v>138</v>
      </c>
      <c r="C22" s="1" t="s">
        <v>115</v>
      </c>
      <c r="D22" s="1">
        <v>400</v>
      </c>
      <c r="E22" s="12" t="s">
        <v>134</v>
      </c>
      <c r="H22">
        <v>19.46</v>
      </c>
    </row>
    <row r="23" spans="1:8" x14ac:dyDescent="0.35">
      <c r="A23" s="2" t="s">
        <v>19</v>
      </c>
      <c r="B23" s="23" t="s">
        <v>140</v>
      </c>
      <c r="C23" s="2" t="s">
        <v>20</v>
      </c>
      <c r="D23" s="2">
        <f>5*25</f>
        <v>125</v>
      </c>
      <c r="E23" s="9" t="s">
        <v>133</v>
      </c>
      <c r="F23" t="s">
        <v>72</v>
      </c>
      <c r="G23" s="5">
        <v>46280</v>
      </c>
    </row>
    <row r="24" spans="1:8" x14ac:dyDescent="0.35">
      <c r="A24" s="2" t="s">
        <v>21</v>
      </c>
      <c r="B24" s="14" t="s">
        <v>137</v>
      </c>
      <c r="C24" s="2" t="s">
        <v>22</v>
      </c>
      <c r="D24" s="2">
        <f>31*25</f>
        <v>775</v>
      </c>
      <c r="E24" s="9" t="s">
        <v>133</v>
      </c>
      <c r="F24" t="s">
        <v>73</v>
      </c>
      <c r="G24" s="5">
        <v>46316</v>
      </c>
    </row>
    <row r="25" spans="1:8" x14ac:dyDescent="0.35">
      <c r="A25" s="1" t="s">
        <v>102</v>
      </c>
      <c r="B25" s="1" t="s">
        <v>150</v>
      </c>
      <c r="C25" s="1" t="s">
        <v>103</v>
      </c>
      <c r="D25" s="1">
        <f>22*25</f>
        <v>550</v>
      </c>
      <c r="E25" s="12" t="s">
        <v>133</v>
      </c>
      <c r="F25" t="s">
        <v>104</v>
      </c>
      <c r="G25" s="5">
        <v>46373</v>
      </c>
      <c r="H25">
        <v>1.3</v>
      </c>
    </row>
    <row r="26" spans="1:8" x14ac:dyDescent="0.35">
      <c r="A26" s="1" t="s">
        <v>120</v>
      </c>
      <c r="B26" s="1"/>
      <c r="C26" s="1" t="s">
        <v>121</v>
      </c>
      <c r="D26" s="1">
        <v>6000</v>
      </c>
      <c r="E26" s="12" t="s">
        <v>133</v>
      </c>
    </row>
    <row r="27" spans="1:8" ht="26" x14ac:dyDescent="0.35">
      <c r="A27" s="2" t="s">
        <v>25</v>
      </c>
      <c r="B27" s="2" t="s">
        <v>149</v>
      </c>
      <c r="C27" s="2" t="s">
        <v>26</v>
      </c>
      <c r="D27" s="2"/>
      <c r="E27" s="9" t="s">
        <v>133</v>
      </c>
    </row>
    <row r="28" spans="1:8" x14ac:dyDescent="0.35">
      <c r="A28" s="1" t="s">
        <v>116</v>
      </c>
      <c r="B28" s="15" t="s">
        <v>137</v>
      </c>
      <c r="C28" s="1" t="s">
        <v>117</v>
      </c>
      <c r="D28" s="1">
        <f>25*9</f>
        <v>225</v>
      </c>
      <c r="E28" s="12" t="s">
        <v>133</v>
      </c>
      <c r="F28">
        <v>803511022</v>
      </c>
      <c r="G28" s="5">
        <v>46708</v>
      </c>
      <c r="H28">
        <v>3.9</v>
      </c>
    </row>
    <row r="29" spans="1:8" x14ac:dyDescent="0.35">
      <c r="A29" s="2" t="s">
        <v>23</v>
      </c>
      <c r="B29" s="20" t="s">
        <v>139</v>
      </c>
      <c r="C29" s="2" t="s">
        <v>24</v>
      </c>
      <c r="D29" s="2">
        <f>35*25</f>
        <v>875</v>
      </c>
      <c r="E29" s="9" t="s">
        <v>133</v>
      </c>
      <c r="F29">
        <v>120126</v>
      </c>
      <c r="H29">
        <v>2.02</v>
      </c>
    </row>
    <row r="30" spans="1:8" x14ac:dyDescent="0.35">
      <c r="A30" s="1" t="s">
        <v>124</v>
      </c>
      <c r="B30" s="1"/>
      <c r="C30" s="1" t="s">
        <v>125</v>
      </c>
      <c r="D30" s="1">
        <v>1000</v>
      </c>
      <c r="E30" s="12" t="s">
        <v>133</v>
      </c>
    </row>
    <row r="31" spans="1:8" x14ac:dyDescent="0.35">
      <c r="A31" s="2" t="s">
        <v>33</v>
      </c>
      <c r="B31" s="16" t="s">
        <v>137</v>
      </c>
      <c r="C31" s="2" t="s">
        <v>34</v>
      </c>
      <c r="D31" s="9">
        <f>21*20</f>
        <v>420</v>
      </c>
      <c r="E31" s="9" t="s">
        <v>133</v>
      </c>
      <c r="F31" s="1" t="s">
        <v>77</v>
      </c>
      <c r="G31" s="5">
        <v>47637</v>
      </c>
      <c r="H31">
        <v>5.71</v>
      </c>
    </row>
    <row r="32" spans="1:8" x14ac:dyDescent="0.35">
      <c r="A32" s="1" t="s">
        <v>119</v>
      </c>
      <c r="B32" s="35" t="s">
        <v>145</v>
      </c>
      <c r="C32" s="1" t="s">
        <v>118</v>
      </c>
      <c r="D32" s="1">
        <f>4*10</f>
        <v>40</v>
      </c>
      <c r="E32" s="12" t="s">
        <v>133</v>
      </c>
      <c r="F32">
        <v>415930220</v>
      </c>
      <c r="G32" s="5">
        <v>46545</v>
      </c>
      <c r="H32">
        <v>3.9</v>
      </c>
    </row>
    <row r="33" spans="1:8" x14ac:dyDescent="0.35">
      <c r="A33" s="2" t="s">
        <v>35</v>
      </c>
      <c r="B33" s="2" t="s">
        <v>150</v>
      </c>
      <c r="C33" s="2" t="s">
        <v>36</v>
      </c>
      <c r="D33" s="2">
        <f>126*25</f>
        <v>3150</v>
      </c>
      <c r="E33" s="9" t="s">
        <v>133</v>
      </c>
      <c r="F33" t="s">
        <v>78</v>
      </c>
      <c r="G33" s="5">
        <v>47056</v>
      </c>
      <c r="H33">
        <v>2.25</v>
      </c>
    </row>
    <row r="34" spans="1:8" x14ac:dyDescent="0.35">
      <c r="A34" s="2" t="s">
        <v>35</v>
      </c>
      <c r="B34" s="2" t="s">
        <v>150</v>
      </c>
      <c r="C34" s="2" t="s">
        <v>36</v>
      </c>
      <c r="D34" s="2">
        <f>164*25</f>
        <v>4100</v>
      </c>
      <c r="E34" s="9" t="s">
        <v>133</v>
      </c>
      <c r="F34" t="s">
        <v>96</v>
      </c>
      <c r="G34" s="5">
        <v>46843</v>
      </c>
      <c r="H34" s="12">
        <v>2.25</v>
      </c>
    </row>
    <row r="35" spans="1:8" x14ac:dyDescent="0.35">
      <c r="A35" s="2" t="s">
        <v>27</v>
      </c>
      <c r="B35" s="2" t="s">
        <v>131</v>
      </c>
      <c r="C35" s="2" t="s">
        <v>28</v>
      </c>
      <c r="D35" s="2">
        <f>68*15</f>
        <v>1020</v>
      </c>
      <c r="E35" s="9" t="s">
        <v>133</v>
      </c>
      <c r="F35" t="s">
        <v>74</v>
      </c>
      <c r="G35" s="5">
        <v>46325</v>
      </c>
      <c r="H35">
        <f>6.75*1.46</f>
        <v>9.8550000000000004</v>
      </c>
    </row>
    <row r="36" spans="1:8" x14ac:dyDescent="0.35">
      <c r="A36" s="2" t="s">
        <v>31</v>
      </c>
      <c r="B36" s="33" t="s">
        <v>142</v>
      </c>
      <c r="C36" s="2" t="s">
        <v>32</v>
      </c>
      <c r="D36" s="2">
        <f>23*10</f>
        <v>230</v>
      </c>
      <c r="E36" s="9" t="s">
        <v>133</v>
      </c>
      <c r="F36" t="s">
        <v>76</v>
      </c>
      <c r="G36" s="5">
        <v>46385</v>
      </c>
      <c r="H36">
        <v>6.9</v>
      </c>
    </row>
    <row r="37" spans="1:8" x14ac:dyDescent="0.35">
      <c r="A37" s="2" t="s">
        <v>29</v>
      </c>
      <c r="B37" s="2" t="s">
        <v>131</v>
      </c>
      <c r="C37" s="3" t="s">
        <v>30</v>
      </c>
      <c r="D37" s="2">
        <f>164*15</f>
        <v>2460</v>
      </c>
      <c r="E37" s="9" t="s">
        <v>133</v>
      </c>
      <c r="F37" t="s">
        <v>75</v>
      </c>
      <c r="G37" s="5">
        <v>46572</v>
      </c>
      <c r="H37">
        <f>9.1*1.46</f>
        <v>13.286</v>
      </c>
    </row>
    <row r="38" spans="1:8" x14ac:dyDescent="0.35">
      <c r="A38" s="2" t="s">
        <v>37</v>
      </c>
      <c r="B38" s="2" t="s">
        <v>129</v>
      </c>
      <c r="C38" s="2" t="s">
        <v>38</v>
      </c>
      <c r="D38" s="2">
        <f>4*25</f>
        <v>100</v>
      </c>
      <c r="E38" s="9" t="s">
        <v>133</v>
      </c>
      <c r="F38" t="s">
        <v>79</v>
      </c>
      <c r="G38" s="5">
        <v>46568</v>
      </c>
      <c r="H38">
        <v>8.9</v>
      </c>
    </row>
    <row r="39" spans="1:8" x14ac:dyDescent="0.35">
      <c r="A39" s="2" t="s">
        <v>37</v>
      </c>
      <c r="B39" s="2" t="s">
        <v>129</v>
      </c>
      <c r="C39" s="2" t="s">
        <v>38</v>
      </c>
      <c r="D39" s="2">
        <v>25</v>
      </c>
      <c r="E39" s="9" t="s">
        <v>133</v>
      </c>
      <c r="F39">
        <v>230126</v>
      </c>
      <c r="G39" s="5">
        <v>46410</v>
      </c>
      <c r="H39" s="12">
        <v>8.9</v>
      </c>
    </row>
    <row r="40" spans="1:8" x14ac:dyDescent="0.35">
      <c r="A40" s="2" t="s">
        <v>39</v>
      </c>
      <c r="B40" s="27" t="s">
        <v>142</v>
      </c>
      <c r="C40" s="2" t="s">
        <v>40</v>
      </c>
      <c r="D40" s="2">
        <f>1000+80</f>
        <v>1080</v>
      </c>
      <c r="E40" s="9" t="s">
        <v>133</v>
      </c>
      <c r="F40" t="s">
        <v>80</v>
      </c>
      <c r="G40" s="5">
        <v>46325</v>
      </c>
      <c r="H40">
        <v>6.08</v>
      </c>
    </row>
    <row r="41" spans="1:8" ht="26" x14ac:dyDescent="0.35">
      <c r="A41" s="2" t="s">
        <v>41</v>
      </c>
      <c r="B41" s="2" t="s">
        <v>150</v>
      </c>
      <c r="C41" s="2" t="s">
        <v>81</v>
      </c>
      <c r="D41" s="1">
        <f>53*25</f>
        <v>1325</v>
      </c>
      <c r="E41" s="12" t="s">
        <v>133</v>
      </c>
      <c r="F41" s="9" t="s">
        <v>82</v>
      </c>
      <c r="H41">
        <v>0.52</v>
      </c>
    </row>
    <row r="42" spans="1:8" x14ac:dyDescent="0.35">
      <c r="A42" s="1" t="s">
        <v>42</v>
      </c>
      <c r="B42" s="32" t="s">
        <v>143</v>
      </c>
      <c r="C42" s="1" t="s">
        <v>113</v>
      </c>
      <c r="D42" s="1">
        <v>20</v>
      </c>
      <c r="E42" s="12" t="s">
        <v>133</v>
      </c>
    </row>
    <row r="43" spans="1:8" x14ac:dyDescent="0.35">
      <c r="A43" s="2" t="s">
        <v>42</v>
      </c>
      <c r="B43" s="2" t="s">
        <v>139</v>
      </c>
      <c r="C43" s="2" t="s">
        <v>43</v>
      </c>
      <c r="D43" s="2">
        <f>32*25</f>
        <v>800</v>
      </c>
      <c r="E43" s="9" t="s">
        <v>133</v>
      </c>
      <c r="F43">
        <v>71025</v>
      </c>
      <c r="H43">
        <v>1.75</v>
      </c>
    </row>
    <row r="44" spans="1:8" x14ac:dyDescent="0.35">
      <c r="A44" s="1" t="s">
        <v>122</v>
      </c>
      <c r="B44" s="1"/>
      <c r="C44" s="1" t="s">
        <v>123</v>
      </c>
      <c r="D44" s="1">
        <v>500</v>
      </c>
      <c r="E44" s="12" t="s">
        <v>133</v>
      </c>
    </row>
    <row r="45" spans="1:8" x14ac:dyDescent="0.35">
      <c r="A45" s="2" t="s">
        <v>44</v>
      </c>
      <c r="B45" s="28" t="s">
        <v>142</v>
      </c>
      <c r="C45" s="2" t="s">
        <v>45</v>
      </c>
      <c r="D45" s="2">
        <f>72*12.5</f>
        <v>900</v>
      </c>
      <c r="E45" s="9" t="s">
        <v>133</v>
      </c>
      <c r="F45" t="s">
        <v>83</v>
      </c>
      <c r="G45" s="5">
        <v>46539</v>
      </c>
      <c r="H45">
        <v>4.4000000000000004</v>
      </c>
    </row>
    <row r="46" spans="1:8" x14ac:dyDescent="0.35">
      <c r="A46" s="2" t="s">
        <v>44</v>
      </c>
      <c r="B46" s="29" t="s">
        <v>142</v>
      </c>
      <c r="C46" s="2" t="s">
        <v>45</v>
      </c>
      <c r="D46" s="2">
        <f>7*12.5</f>
        <v>87.5</v>
      </c>
      <c r="E46" s="9" t="s">
        <v>133</v>
      </c>
      <c r="F46" t="s">
        <v>83</v>
      </c>
      <c r="G46" s="5">
        <v>46431</v>
      </c>
      <c r="H46">
        <v>4.4000000000000004</v>
      </c>
    </row>
    <row r="47" spans="1:8" x14ac:dyDescent="0.35">
      <c r="A47" s="2" t="s">
        <v>46</v>
      </c>
      <c r="B47" s="30" t="s">
        <v>142</v>
      </c>
      <c r="C47" s="3" t="s">
        <v>47</v>
      </c>
      <c r="D47" s="2">
        <f>25*10</f>
        <v>250</v>
      </c>
      <c r="E47" s="9" t="s">
        <v>133</v>
      </c>
      <c r="F47" t="s">
        <v>84</v>
      </c>
      <c r="G47" s="5">
        <v>46501</v>
      </c>
      <c r="H47">
        <v>3.38</v>
      </c>
    </row>
    <row r="48" spans="1:8" x14ac:dyDescent="0.35">
      <c r="A48" s="2" t="s">
        <v>46</v>
      </c>
      <c r="B48" s="31" t="s">
        <v>142</v>
      </c>
      <c r="C48" s="3" t="s">
        <v>47</v>
      </c>
      <c r="D48" s="2">
        <f>7*15</f>
        <v>105</v>
      </c>
      <c r="E48" s="9" t="s">
        <v>133</v>
      </c>
      <c r="F48" t="s">
        <v>95</v>
      </c>
      <c r="G48" s="5">
        <v>46446</v>
      </c>
      <c r="H48">
        <v>3.38</v>
      </c>
    </row>
    <row r="49" spans="1:8" x14ac:dyDescent="0.35">
      <c r="A49" s="2" t="s">
        <v>50</v>
      </c>
      <c r="B49" s="2" t="s">
        <v>150</v>
      </c>
      <c r="C49" s="2" t="s">
        <v>51</v>
      </c>
      <c r="D49" s="2">
        <f>345*25</f>
        <v>8625</v>
      </c>
      <c r="E49" s="9" t="s">
        <v>133</v>
      </c>
      <c r="F49" t="s">
        <v>85</v>
      </c>
      <c r="G49" s="5">
        <v>46673</v>
      </c>
      <c r="H49">
        <v>1.58</v>
      </c>
    </row>
    <row r="50" spans="1:8" x14ac:dyDescent="0.35">
      <c r="A50" s="2" t="s">
        <v>48</v>
      </c>
      <c r="B50" s="2"/>
      <c r="C50" s="2" t="s">
        <v>49</v>
      </c>
      <c r="D50" s="2">
        <f>28*12</f>
        <v>336</v>
      </c>
      <c r="E50" s="9" t="s">
        <v>136</v>
      </c>
      <c r="F50">
        <v>612</v>
      </c>
      <c r="G50" s="5">
        <v>46764</v>
      </c>
      <c r="H50">
        <v>2.79</v>
      </c>
    </row>
    <row r="51" spans="1:8" ht="26" x14ac:dyDescent="0.35">
      <c r="A51" s="2" t="s">
        <v>52</v>
      </c>
      <c r="B51" s="2" t="s">
        <v>147</v>
      </c>
      <c r="C51" s="2" t="s">
        <v>53</v>
      </c>
      <c r="D51" s="2">
        <v>4000</v>
      </c>
      <c r="E51" s="9" t="s">
        <v>135</v>
      </c>
      <c r="F51">
        <v>596</v>
      </c>
      <c r="G51" s="5">
        <v>47114</v>
      </c>
      <c r="H51" s="12">
        <v>0.85</v>
      </c>
    </row>
    <row r="52" spans="1:8" x14ac:dyDescent="0.35">
      <c r="A52" s="2" t="s">
        <v>54</v>
      </c>
      <c r="B52" s="2" t="s">
        <v>129</v>
      </c>
      <c r="C52" s="2" t="s">
        <v>55</v>
      </c>
      <c r="D52" s="2"/>
      <c r="E52" s="9" t="s">
        <v>133</v>
      </c>
    </row>
    <row r="53" spans="1:8" x14ac:dyDescent="0.35">
      <c r="A53" s="1" t="s">
        <v>99</v>
      </c>
      <c r="B53" s="16" t="s">
        <v>137</v>
      </c>
      <c r="C53" s="1" t="s">
        <v>100</v>
      </c>
      <c r="D53" s="1">
        <f>25*40</f>
        <v>1000</v>
      </c>
      <c r="E53" s="12" t="s">
        <v>133</v>
      </c>
      <c r="F53" t="s">
        <v>101</v>
      </c>
      <c r="G53" s="5">
        <v>46725</v>
      </c>
      <c r="H53">
        <v>2.0299999999999998</v>
      </c>
    </row>
    <row r="54" spans="1:8" x14ac:dyDescent="0.35">
      <c r="A54" s="1" t="s">
        <v>99</v>
      </c>
      <c r="B54" s="1" t="s">
        <v>111</v>
      </c>
      <c r="C54" s="1" t="s">
        <v>100</v>
      </c>
      <c r="D54" s="1">
        <f>19*20</f>
        <v>380</v>
      </c>
      <c r="E54" s="12" t="s">
        <v>133</v>
      </c>
      <c r="F54" t="s">
        <v>112</v>
      </c>
      <c r="G54" s="5">
        <v>46604</v>
      </c>
    </row>
    <row r="55" spans="1:8" x14ac:dyDescent="0.35">
      <c r="A55" s="1" t="s">
        <v>126</v>
      </c>
      <c r="B55" s="1"/>
      <c r="C55" s="1" t="s">
        <v>127</v>
      </c>
      <c r="D55" s="1">
        <v>1000</v>
      </c>
      <c r="E55" s="12" t="s">
        <v>133</v>
      </c>
    </row>
    <row r="56" spans="1:8" x14ac:dyDescent="0.35">
      <c r="A56" s="2" t="s">
        <v>56</v>
      </c>
      <c r="B56" s="16" t="s">
        <v>137</v>
      </c>
      <c r="C56" s="2" t="s">
        <v>57</v>
      </c>
      <c r="D56" s="2">
        <f>25*2</f>
        <v>50</v>
      </c>
      <c r="E56" s="9" t="s">
        <v>133</v>
      </c>
      <c r="F56" t="s">
        <v>86</v>
      </c>
      <c r="G56" s="5">
        <v>46599</v>
      </c>
      <c r="H56">
        <v>8.3000000000000007</v>
      </c>
    </row>
    <row r="57" spans="1:8" x14ac:dyDescent="0.35">
      <c r="A57" s="1"/>
      <c r="B57" s="1"/>
      <c r="C57" s="1"/>
      <c r="D57" s="1"/>
      <c r="E57" s="11"/>
    </row>
    <row r="58" spans="1:8" x14ac:dyDescent="0.35">
      <c r="A58" s="1"/>
      <c r="B58" s="1"/>
      <c r="C58" s="1"/>
      <c r="D58" s="1"/>
      <c r="E58" s="11"/>
    </row>
    <row r="59" spans="1:8" x14ac:dyDescent="0.35">
      <c r="A59" s="1"/>
      <c r="B59" s="1"/>
      <c r="C59" s="1"/>
      <c r="D59" s="1"/>
      <c r="E59" s="11"/>
    </row>
    <row r="60" spans="1:8" x14ac:dyDescent="0.35">
      <c r="A60" s="1"/>
      <c r="B60" s="1"/>
      <c r="C60" s="1"/>
      <c r="D60" s="1"/>
      <c r="E60" s="11"/>
    </row>
    <row r="61" spans="1:8" x14ac:dyDescent="0.35">
      <c r="A61" s="1"/>
      <c r="B61" s="1"/>
      <c r="C61" s="1"/>
      <c r="D61" s="1"/>
      <c r="E61" s="11"/>
    </row>
    <row r="62" spans="1:8" x14ac:dyDescent="0.35">
      <c r="A62" s="1"/>
      <c r="B62" s="1"/>
      <c r="C62" s="1"/>
      <c r="D62" s="1"/>
      <c r="E62" s="11"/>
    </row>
    <row r="63" spans="1:8" x14ac:dyDescent="0.35">
      <c r="A63" s="1"/>
      <c r="B63" s="1"/>
      <c r="C63" s="1"/>
      <c r="D63" s="1"/>
      <c r="E63" s="11"/>
    </row>
    <row r="64" spans="1:8" x14ac:dyDescent="0.35">
      <c r="A64" s="1"/>
      <c r="B64" s="1"/>
      <c r="C64" s="1"/>
      <c r="D64" s="1"/>
      <c r="E64" s="11"/>
    </row>
    <row r="65" spans="1:5" x14ac:dyDescent="0.35">
      <c r="A65" s="1"/>
      <c r="B65" s="1"/>
      <c r="C65" s="1"/>
      <c r="D65" s="1"/>
      <c r="E65" s="11"/>
    </row>
    <row r="66" spans="1:5" x14ac:dyDescent="0.35">
      <c r="A66" s="1"/>
      <c r="B66" s="1"/>
      <c r="C66" s="1"/>
      <c r="D66" s="1"/>
      <c r="E66" s="11"/>
    </row>
    <row r="67" spans="1:5" x14ac:dyDescent="0.35">
      <c r="A67" s="1"/>
      <c r="B67" s="1"/>
      <c r="C67" s="1"/>
      <c r="D67" s="1"/>
      <c r="E67" s="11"/>
    </row>
    <row r="68" spans="1:5" x14ac:dyDescent="0.35">
      <c r="A68" s="1"/>
      <c r="B68" s="1"/>
      <c r="C68" s="1"/>
      <c r="D68" s="1"/>
      <c r="E68" s="11"/>
    </row>
    <row r="69" spans="1:5" x14ac:dyDescent="0.35">
      <c r="A69" s="1"/>
      <c r="B69" s="1"/>
      <c r="C69" s="1"/>
      <c r="D69" s="1"/>
      <c r="E69" s="11"/>
    </row>
    <row r="70" spans="1:5" x14ac:dyDescent="0.35">
      <c r="A70" s="1"/>
      <c r="B70" s="1"/>
      <c r="C70" s="1"/>
      <c r="D70" s="1"/>
      <c r="E70" s="11"/>
    </row>
    <row r="71" spans="1:5" x14ac:dyDescent="0.35">
      <c r="A71" s="1"/>
      <c r="B71" s="1"/>
      <c r="C71" s="1"/>
      <c r="D71" s="1"/>
      <c r="E71" s="11"/>
    </row>
    <row r="72" spans="1:5" x14ac:dyDescent="0.35">
      <c r="A72" s="1"/>
      <c r="B72" s="1"/>
      <c r="C72" s="1"/>
      <c r="D72" s="1"/>
      <c r="E72" s="11"/>
    </row>
    <row r="73" spans="1:5" x14ac:dyDescent="0.35">
      <c r="A73" s="1"/>
      <c r="B73" s="1"/>
      <c r="C73" s="1"/>
      <c r="D73" s="1"/>
      <c r="E73" s="11"/>
    </row>
    <row r="74" spans="1:5" x14ac:dyDescent="0.35">
      <c r="A74" s="1"/>
      <c r="B74" s="1"/>
      <c r="C74" s="1"/>
      <c r="D74" s="1"/>
      <c r="E74" s="11"/>
    </row>
    <row r="75" spans="1:5" x14ac:dyDescent="0.35">
      <c r="A75" s="1"/>
      <c r="B75" s="1"/>
      <c r="C75" s="1"/>
      <c r="D75" s="1"/>
      <c r="E75" s="11"/>
    </row>
    <row r="76" spans="1:5" x14ac:dyDescent="0.35">
      <c r="A76" s="1"/>
      <c r="B76" s="1"/>
      <c r="C76" s="1"/>
      <c r="D76" s="1"/>
      <c r="E76" s="11"/>
    </row>
    <row r="77" spans="1:5" x14ac:dyDescent="0.35">
      <c r="A77" s="1"/>
      <c r="B77" s="1"/>
      <c r="C77" s="1"/>
      <c r="D77" s="1"/>
      <c r="E77" s="11"/>
    </row>
    <row r="78" spans="1:5" x14ac:dyDescent="0.35">
      <c r="A78" s="1"/>
      <c r="B78" s="1"/>
      <c r="C78" s="1"/>
      <c r="D78" s="1"/>
      <c r="E78" s="11"/>
    </row>
    <row r="79" spans="1:5" x14ac:dyDescent="0.35">
      <c r="A79" s="1"/>
      <c r="B79" s="1"/>
      <c r="C79" s="1"/>
      <c r="D79" s="1"/>
      <c r="E79" s="11"/>
    </row>
    <row r="80" spans="1:5" x14ac:dyDescent="0.35">
      <c r="A80" s="1"/>
      <c r="B80" s="1"/>
      <c r="C80" s="1"/>
      <c r="D80" s="1"/>
      <c r="E80" s="11"/>
    </row>
    <row r="81" spans="1:5" x14ac:dyDescent="0.35">
      <c r="A81" s="1"/>
      <c r="B81" s="1"/>
      <c r="C81" s="1"/>
      <c r="D81" s="1"/>
      <c r="E81" s="11"/>
    </row>
    <row r="82" spans="1:5" x14ac:dyDescent="0.35">
      <c r="A82" s="1"/>
      <c r="B82" s="1"/>
      <c r="C82" s="1"/>
      <c r="D82" s="1"/>
      <c r="E82" s="11"/>
    </row>
    <row r="83" spans="1:5" x14ac:dyDescent="0.35">
      <c r="A83" s="1"/>
      <c r="B83" s="1"/>
      <c r="C83" s="1"/>
      <c r="D83" s="1"/>
      <c r="E83" s="11"/>
    </row>
    <row r="84" spans="1:5" x14ac:dyDescent="0.35">
      <c r="A84" s="1"/>
      <c r="B84" s="1"/>
      <c r="C84" s="1"/>
      <c r="D84" s="1"/>
      <c r="E84" s="11"/>
    </row>
    <row r="85" spans="1:5" x14ac:dyDescent="0.35">
      <c r="A85" s="1"/>
      <c r="B85" s="1"/>
      <c r="C85" s="1"/>
      <c r="D85" s="1"/>
      <c r="E85" s="11"/>
    </row>
    <row r="86" spans="1:5" x14ac:dyDescent="0.35">
      <c r="A86" s="1"/>
      <c r="B86" s="1"/>
      <c r="C86" s="1"/>
      <c r="D86" s="1"/>
      <c r="E86" s="11"/>
    </row>
    <row r="87" spans="1:5" x14ac:dyDescent="0.35">
      <c r="A87" s="1"/>
      <c r="B87" s="1"/>
      <c r="C87" s="1"/>
      <c r="D87" s="1"/>
      <c r="E87" s="11"/>
    </row>
    <row r="88" spans="1:5" x14ac:dyDescent="0.35">
      <c r="A88" s="1"/>
      <c r="B88" s="1"/>
      <c r="C88" s="1"/>
      <c r="D88" s="1"/>
      <c r="E88" s="11"/>
    </row>
    <row r="89" spans="1:5" x14ac:dyDescent="0.35">
      <c r="A89" s="1"/>
      <c r="B89" s="1"/>
      <c r="C89" s="1"/>
      <c r="D89" s="1"/>
      <c r="E89" s="11"/>
    </row>
    <row r="90" spans="1:5" x14ac:dyDescent="0.35">
      <c r="A90" s="1"/>
      <c r="B90" s="1"/>
      <c r="C90" s="1"/>
      <c r="D90" s="1"/>
      <c r="E90" s="11"/>
    </row>
    <row r="91" spans="1:5" x14ac:dyDescent="0.35">
      <c r="A91" s="1"/>
      <c r="B91" s="1"/>
      <c r="C91" s="1"/>
      <c r="D91" s="1"/>
      <c r="E91" s="11"/>
    </row>
    <row r="92" spans="1:5" x14ac:dyDescent="0.35">
      <c r="A92" s="1"/>
      <c r="B92" s="1"/>
      <c r="C92" s="1"/>
      <c r="D92" s="1"/>
      <c r="E92" s="11"/>
    </row>
    <row r="93" spans="1:5" x14ac:dyDescent="0.35">
      <c r="A93" s="1"/>
      <c r="B93" s="1"/>
      <c r="C93" s="1"/>
      <c r="D93" s="1"/>
      <c r="E93" s="11"/>
    </row>
    <row r="94" spans="1:5" x14ac:dyDescent="0.35">
      <c r="A94" s="1"/>
      <c r="B94" s="1"/>
      <c r="C94" s="1"/>
      <c r="D94" s="1"/>
      <c r="E94" s="11"/>
    </row>
    <row r="95" spans="1:5" x14ac:dyDescent="0.35">
      <c r="A95" s="1"/>
      <c r="B95" s="1"/>
      <c r="C95" s="1"/>
      <c r="D95" s="1"/>
      <c r="E95" s="11"/>
    </row>
    <row r="96" spans="1:5" x14ac:dyDescent="0.35">
      <c r="A96" s="1"/>
      <c r="B96" s="1"/>
      <c r="C96" s="1"/>
      <c r="D96" s="1"/>
      <c r="E96" s="11"/>
    </row>
    <row r="97" spans="1:5" x14ac:dyDescent="0.35">
      <c r="A97" s="1"/>
      <c r="B97" s="1"/>
      <c r="C97" s="1"/>
      <c r="D97" s="1"/>
      <c r="E97" s="11"/>
    </row>
    <row r="98" spans="1:5" x14ac:dyDescent="0.35">
      <c r="A98" s="1"/>
      <c r="B98" s="1"/>
      <c r="C98" s="1"/>
      <c r="D98" s="1"/>
      <c r="E98" s="11"/>
    </row>
    <row r="99" spans="1:5" x14ac:dyDescent="0.35">
      <c r="A99" s="1"/>
      <c r="B99" s="1"/>
      <c r="C99" s="1"/>
      <c r="D99" s="1"/>
      <c r="E99" s="11"/>
    </row>
    <row r="100" spans="1:5" x14ac:dyDescent="0.35">
      <c r="A100" s="1"/>
      <c r="B100" s="1"/>
      <c r="C100" s="1"/>
      <c r="D100" s="1"/>
      <c r="E100" s="11"/>
    </row>
  </sheetData>
  <autoFilter ref="A1:H56" xr:uid="{F72D03EE-03E3-42CC-8635-F0DBB8DFF440}"/>
  <sortState xmlns:xlrd2="http://schemas.microsoft.com/office/spreadsheetml/2017/richdata2" ref="A2:G56">
    <sortCondition ref="C2:C56"/>
  </sortState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gunneshwar Rao</dc:creator>
  <cp:lastModifiedBy>gunneshwar Rao</cp:lastModifiedBy>
  <cp:lastPrinted>2026-04-05T23:37:28Z</cp:lastPrinted>
  <dcterms:created xsi:type="dcterms:W3CDTF">2026-04-05T23:28:56Z</dcterms:created>
  <dcterms:modified xsi:type="dcterms:W3CDTF">2026-04-08T05:02:31Z</dcterms:modified>
</cp:coreProperties>
</file>